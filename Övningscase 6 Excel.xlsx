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karl\OneDrive\Documents\Bli excel mästare\"/>
    </mc:Choice>
  </mc:AlternateContent>
  <xr:revisionPtr revIDLastSave="0" documentId="8_{D0799AC2-3207-4AF7-B572-D3CF21A83C6B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Avvikelseanalys" sheetId="2" r:id="rId1"/>
    <sheet name="Investering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3" l="1"/>
  <c r="C15" i="3"/>
  <c r="I7" i="2"/>
  <c r="I8" i="2"/>
  <c r="I9" i="2"/>
  <c r="I10" i="2"/>
  <c r="I6" i="2"/>
  <c r="H7" i="2"/>
  <c r="H8" i="2"/>
  <c r="H9" i="2"/>
  <c r="H10" i="2"/>
  <c r="H6" i="2"/>
  <c r="G7" i="2"/>
  <c r="G8" i="2"/>
  <c r="G9" i="2"/>
  <c r="G10" i="2"/>
  <c r="G6" i="2"/>
  <c r="F7" i="2"/>
  <c r="F8" i="2"/>
  <c r="F9" i="2"/>
  <c r="F10" i="2"/>
  <c r="F6" i="2"/>
  <c r="E10" i="2"/>
  <c r="E9" i="2"/>
  <c r="E8" i="2"/>
  <c r="E7" i="2"/>
  <c r="E6" i="2"/>
</calcChain>
</file>

<file path=xl/sharedStrings.xml><?xml version="1.0" encoding="utf-8"?>
<sst xmlns="http://schemas.openxmlformats.org/spreadsheetml/2006/main" count="21" uniqueCount="21">
  <si>
    <t>Del A – Avvikelseanalys (utfall mot budget)</t>
  </si>
  <si>
    <t>Kostnadsställe</t>
  </si>
  <si>
    <t>Budget helår</t>
  </si>
  <si>
    <t>Utfall jan–maj</t>
  </si>
  <si>
    <t>Periodiserad budget
(jan–maj)</t>
  </si>
  <si>
    <t>Avvikelse hittills
(kr)</t>
  </si>
  <si>
    <t>Avvikelse hittills
(%)</t>
  </si>
  <si>
    <t>Helårsprognos</t>
  </si>
  <si>
    <t>Prognosavvikelse
(kr)</t>
  </si>
  <si>
    <t>4010 Montering</t>
  </si>
  <si>
    <t>4020 Bearbetning</t>
  </si>
  <si>
    <t>4030 Underhåll</t>
  </si>
  <si>
    <t>4040 Kvalitet</t>
  </si>
  <si>
    <t>4050 Lager &amp; Logistik</t>
  </si>
  <si>
    <t>Del B – Investeringskalkyl (ny maskin)</t>
  </si>
  <si>
    <t>Kalkylränta</t>
  </si>
  <si>
    <t>År</t>
  </si>
  <si>
    <t>Kassaflöde (kr)</t>
  </si>
  <si>
    <t>0 (investering)</t>
  </si>
  <si>
    <t>Uppgift B1 – Nuvärde (NPV):</t>
  </si>
  <si>
    <t>Uppgift B2 – Internränta (IRR):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</si>
</sst>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i/>
      <sz val="10"/>
      <color rgb="FF595959"/>
      <name val="Arial"/>
      <charset val="1"/>
    </font>
    <font>
      <i/>
      <sz val="10"/>
      <color rgb="FF7F7F7F"/>
      <name val="Arial"/>
      <charset val="1"/>
    </font>
    <font>
      <b/>
      <sz val="14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1E7B3A"/>
      <name val="Arial"/>
      <charset val="1"/>
    </font>
    <font>
      <b/>
      <sz val="11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EEF1F7"/>
        <bgColor rgb="FFE7F5EC"/>
      </patternFill>
    </fill>
    <fill>
      <patternFill patternType="solid">
        <fgColor rgb="FF1F3864"/>
        <bgColor rgb="FF333333"/>
      </patternFill>
    </fill>
    <fill>
      <patternFill patternType="solid">
        <fgColor rgb="FFE7F5EC"/>
        <bgColor rgb="FFEEF1F7"/>
      </patternFill>
    </fill>
    <fill>
      <patternFill patternType="solid">
        <fgColor rgb="FFFFF2CC"/>
        <bgColor rgb="FFEEF1F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3" fontId="6" fillId="2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8" fillId="0" borderId="0" xfId="0" applyFont="1"/>
    <xf numFmtId="9" fontId="6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A"/>
      <rgbColor rgb="FF000080"/>
      <rgbColor rgb="FF808000"/>
      <rgbColor rgb="FF800080"/>
      <rgbColor rgb="FF1A7A6E"/>
      <rgbColor rgb="FFC0C0C0"/>
      <rgbColor rgb="FF7F7F7F"/>
      <rgbColor rgb="FF9999FF"/>
      <rgbColor rgb="FF993366"/>
      <rgbColor rgb="FFFFF2CC"/>
      <rgbColor rgb="FFE7F5EC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0"/>
  <sheetViews>
    <sheetView showGridLines="0" zoomScaleNormal="100" workbookViewId="0">
      <selection activeCell="B3" sqref="B3"/>
    </sheetView>
  </sheetViews>
  <sheetFormatPr defaultColWidth="8.7109375" defaultRowHeight="15" x14ac:dyDescent="0.25"/>
  <cols>
    <col min="2" max="2" width="22" customWidth="1"/>
    <col min="3" max="4" width="14" customWidth="1"/>
    <col min="5" max="6" width="15" customWidth="1"/>
    <col min="7" max="8" width="14" customWidth="1"/>
    <col min="9" max="9" width="16" customWidth="1"/>
  </cols>
  <sheetData>
    <row r="2" spans="2:9" ht="18" x14ac:dyDescent="0.25">
      <c r="B2" s="3" t="s">
        <v>0</v>
      </c>
    </row>
    <row r="3" spans="2:9" x14ac:dyDescent="0.25">
      <c r="B3" s="1"/>
    </row>
    <row r="5" spans="2:9" ht="43.5" customHeight="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</row>
    <row r="6" spans="2:9" x14ac:dyDescent="0.25">
      <c r="B6" s="5" t="s">
        <v>9</v>
      </c>
      <c r="C6" s="6">
        <v>1200000</v>
      </c>
      <c r="D6" s="6">
        <v>540000</v>
      </c>
      <c r="E6" s="7">
        <f>C6/12*5</f>
        <v>500000</v>
      </c>
      <c r="F6" s="8">
        <f>D6-E6</f>
        <v>40000</v>
      </c>
      <c r="G6" s="9">
        <f>F6/E6</f>
        <v>0.08</v>
      </c>
      <c r="H6" s="8">
        <f>D6/5*12</f>
        <v>1296000</v>
      </c>
      <c r="I6" s="8">
        <f>H6-C6</f>
        <v>96000</v>
      </c>
    </row>
    <row r="7" spans="2:9" x14ac:dyDescent="0.25">
      <c r="B7" s="5" t="s">
        <v>10</v>
      </c>
      <c r="C7" s="6">
        <v>960000</v>
      </c>
      <c r="D7" s="6">
        <v>380000</v>
      </c>
      <c r="E7" s="7">
        <f>C7/12*5</f>
        <v>400000</v>
      </c>
      <c r="F7" s="8">
        <f t="shared" ref="F7:F10" si="0">D7-E7</f>
        <v>-20000</v>
      </c>
      <c r="G7" s="9">
        <f t="shared" ref="G7:G10" si="1">F7/E7</f>
        <v>-0.05</v>
      </c>
      <c r="H7" s="8">
        <f t="shared" ref="H7:H10" si="2">D7/5*12</f>
        <v>912000</v>
      </c>
      <c r="I7" s="8">
        <f t="shared" ref="I7:I10" si="3">H7-C7</f>
        <v>-48000</v>
      </c>
    </row>
    <row r="8" spans="2:9" x14ac:dyDescent="0.25">
      <c r="B8" s="5" t="s">
        <v>11</v>
      </c>
      <c r="C8" s="6">
        <v>600000</v>
      </c>
      <c r="D8" s="6">
        <v>270000</v>
      </c>
      <c r="E8" s="7">
        <f>C8/12*5</f>
        <v>250000</v>
      </c>
      <c r="F8" s="8">
        <f t="shared" si="0"/>
        <v>20000</v>
      </c>
      <c r="G8" s="9">
        <f t="shared" si="1"/>
        <v>0.08</v>
      </c>
      <c r="H8" s="8">
        <f t="shared" si="2"/>
        <v>648000</v>
      </c>
      <c r="I8" s="8">
        <f t="shared" si="3"/>
        <v>48000</v>
      </c>
    </row>
    <row r="9" spans="2:9" x14ac:dyDescent="0.25">
      <c r="B9" s="5" t="s">
        <v>12</v>
      </c>
      <c r="C9" s="6">
        <v>480000</v>
      </c>
      <c r="D9" s="6">
        <v>185000</v>
      </c>
      <c r="E9" s="7">
        <f>C9/12*5</f>
        <v>200000</v>
      </c>
      <c r="F9" s="8">
        <f t="shared" si="0"/>
        <v>-15000</v>
      </c>
      <c r="G9" s="9">
        <f t="shared" si="1"/>
        <v>-7.4999999999999997E-2</v>
      </c>
      <c r="H9" s="8">
        <f t="shared" si="2"/>
        <v>444000</v>
      </c>
      <c r="I9" s="8">
        <f t="shared" si="3"/>
        <v>-36000</v>
      </c>
    </row>
    <row r="10" spans="2:9" x14ac:dyDescent="0.25">
      <c r="B10" s="5" t="s">
        <v>13</v>
      </c>
      <c r="C10" s="6">
        <v>720000</v>
      </c>
      <c r="D10" s="6">
        <v>310000</v>
      </c>
      <c r="E10" s="7">
        <f>C10/12*5</f>
        <v>300000</v>
      </c>
      <c r="F10" s="8">
        <f t="shared" si="0"/>
        <v>10000</v>
      </c>
      <c r="G10" s="9">
        <f t="shared" si="1"/>
        <v>3.3333333333333333E-2</v>
      </c>
      <c r="H10" s="8">
        <f t="shared" si="2"/>
        <v>744000</v>
      </c>
      <c r="I10" s="8">
        <f t="shared" si="3"/>
        <v>24000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9"/>
  <sheetViews>
    <sheetView showGridLines="0" tabSelected="1" zoomScaleNormal="100" workbookViewId="0">
      <selection activeCell="B4" sqref="B4"/>
    </sheetView>
  </sheetViews>
  <sheetFormatPr defaultColWidth="8.7109375" defaultRowHeight="15" x14ac:dyDescent="0.25"/>
  <cols>
    <col min="2" max="2" width="48.7109375" customWidth="1"/>
    <col min="3" max="3" width="16" customWidth="1"/>
    <col min="4" max="4" width="12" customWidth="1"/>
  </cols>
  <sheetData>
    <row r="2" spans="2:3" ht="18" x14ac:dyDescent="0.25">
      <c r="B2" s="3" t="s">
        <v>14</v>
      </c>
    </row>
    <row r="3" spans="2:3" x14ac:dyDescent="0.25">
      <c r="B3" s="1"/>
    </row>
    <row r="5" spans="2:3" x14ac:dyDescent="0.25">
      <c r="B5" s="10" t="s">
        <v>15</v>
      </c>
      <c r="C5" s="11">
        <v>0.08</v>
      </c>
    </row>
    <row r="7" spans="2:3" x14ac:dyDescent="0.25">
      <c r="B7" s="12" t="s">
        <v>16</v>
      </c>
      <c r="C7" s="12" t="s">
        <v>17</v>
      </c>
    </row>
    <row r="8" spans="2:3" x14ac:dyDescent="0.25">
      <c r="B8" s="13" t="s">
        <v>18</v>
      </c>
      <c r="C8" s="6">
        <v>-2500000</v>
      </c>
    </row>
    <row r="9" spans="2:3" x14ac:dyDescent="0.25">
      <c r="B9" s="14">
        <v>1</v>
      </c>
      <c r="C9" s="6">
        <v>600000</v>
      </c>
    </row>
    <row r="10" spans="2:3" x14ac:dyDescent="0.25">
      <c r="B10" s="14">
        <v>2</v>
      </c>
      <c r="C10" s="6">
        <v>700000</v>
      </c>
    </row>
    <row r="11" spans="2:3" x14ac:dyDescent="0.25">
      <c r="B11" s="14">
        <v>3</v>
      </c>
      <c r="C11" s="6">
        <v>750000</v>
      </c>
    </row>
    <row r="12" spans="2:3" x14ac:dyDescent="0.25">
      <c r="B12" s="14">
        <v>4</v>
      </c>
      <c r="C12" s="6">
        <v>800000</v>
      </c>
    </row>
    <row r="13" spans="2:3" x14ac:dyDescent="0.25">
      <c r="B13" s="14">
        <v>5</v>
      </c>
      <c r="C13" s="6">
        <v>850000</v>
      </c>
    </row>
    <row r="15" spans="2:3" x14ac:dyDescent="0.25">
      <c r="B15" s="10" t="s">
        <v>19</v>
      </c>
      <c r="C15" s="8">
        <f>NPV(C5,C9:C13)+C8</f>
        <v>417586.51024778374</v>
      </c>
    </row>
    <row r="16" spans="2:3" x14ac:dyDescent="0.25">
      <c r="B16" s="10" t="s">
        <v>20</v>
      </c>
      <c r="C16" s="9">
        <f>IRR(C8:C13)</f>
        <v>0.13784733596840204</v>
      </c>
    </row>
    <row r="18" spans="2:2" x14ac:dyDescent="0.25">
      <c r="B18" s="2"/>
    </row>
    <row r="19" spans="2:2" x14ac:dyDescent="0.25">
      <c r="B19" s="1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Avvikelseanalys</vt:lpstr>
      <vt:lpstr>Investering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Karlsson</cp:lastModifiedBy>
  <cp:revision>0</cp:revision>
  <dcterms:created xsi:type="dcterms:W3CDTF">2026-06-14T09:14:52Z</dcterms:created>
  <dcterms:modified xsi:type="dcterms:W3CDTF">2026-06-14T09:31:37Z</dcterms:modified>
  <dc:language>en-US</dc:language>
</cp:coreProperties>
</file>